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KMAL\Desktop\"/>
    </mc:Choice>
  </mc:AlternateContent>
  <xr:revisionPtr revIDLastSave="0" documentId="13_ncr:1_{B15EF14E-656C-4E3B-94BF-366D468AF25C}" xr6:coauthVersionLast="47" xr6:coauthVersionMax="47" xr10:uidLastSave="{00000000-0000-0000-0000-000000000000}"/>
  <bookViews>
    <workbookView xWindow="28680" yWindow="-3330" windowWidth="29040" windowHeight="15720" xr2:uid="{C7F6D21E-22D4-44E6-9216-76A6951E55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J3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I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4" i="2"/>
  <c r="H4" i="2" s="1"/>
  <c r="D4" i="2"/>
  <c r="E34" i="2"/>
  <c r="D5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5" i="1"/>
  <c r="J4" i="2" l="1"/>
  <c r="H5" i="2"/>
  <c r="I5" i="2"/>
  <c r="J5" i="2" s="1"/>
  <c r="F34" i="2"/>
  <c r="F7" i="1"/>
  <c r="G7" i="1" s="1"/>
  <c r="F5" i="1"/>
  <c r="G5" i="1" s="1"/>
  <c r="I5" i="1" s="1"/>
  <c r="F6" i="1"/>
  <c r="G6" i="1" s="1"/>
  <c r="F8" i="1"/>
  <c r="G8" i="1" s="1"/>
  <c r="I6" i="2" l="1"/>
  <c r="I7" i="2" s="1"/>
  <c r="D6" i="2"/>
  <c r="H6" i="2" s="1"/>
  <c r="I6" i="1"/>
  <c r="J6" i="1" s="1"/>
  <c r="K6" i="1" s="1"/>
  <c r="J5" i="1"/>
  <c r="K5" i="1" s="1"/>
  <c r="F9" i="1"/>
  <c r="G9" i="1" s="1"/>
  <c r="J6" i="2" l="1"/>
  <c r="I8" i="2"/>
  <c r="D7" i="2"/>
  <c r="H7" i="2" s="1"/>
  <c r="I7" i="1"/>
  <c r="J7" i="1" s="1"/>
  <c r="K7" i="1" s="1"/>
  <c r="F10" i="1"/>
  <c r="G10" i="1" s="1"/>
  <c r="J7" i="2" l="1"/>
  <c r="I9" i="2"/>
  <c r="D8" i="2"/>
  <c r="H8" i="2" s="1"/>
  <c r="I8" i="1"/>
  <c r="J8" i="1" s="1"/>
  <c r="K8" i="1" s="1"/>
  <c r="F11" i="1"/>
  <c r="G11" i="1" s="1"/>
  <c r="J8" i="2" l="1"/>
  <c r="I10" i="2"/>
  <c r="D9" i="2"/>
  <c r="H9" i="2" s="1"/>
  <c r="I9" i="1"/>
  <c r="J9" i="1" s="1"/>
  <c r="K9" i="1" s="1"/>
  <c r="F12" i="1"/>
  <c r="G12" i="1" s="1"/>
  <c r="J9" i="2" l="1"/>
  <c r="I11" i="2"/>
  <c r="D10" i="2"/>
  <c r="H10" i="2" s="1"/>
  <c r="I10" i="1"/>
  <c r="J10" i="1" s="1"/>
  <c r="K10" i="1" s="1"/>
  <c r="F13" i="1"/>
  <c r="G13" i="1" s="1"/>
  <c r="J10" i="2" l="1"/>
  <c r="I12" i="2"/>
  <c r="D11" i="2"/>
  <c r="H11" i="2" s="1"/>
  <c r="I11" i="1"/>
  <c r="J11" i="1" s="1"/>
  <c r="K11" i="1" s="1"/>
  <c r="F14" i="1"/>
  <c r="G14" i="1" s="1"/>
  <c r="J11" i="2" l="1"/>
  <c r="I13" i="2"/>
  <c r="D12" i="2"/>
  <c r="H12" i="2" s="1"/>
  <c r="I12" i="1"/>
  <c r="J12" i="1" s="1"/>
  <c r="K12" i="1" s="1"/>
  <c r="F15" i="1"/>
  <c r="G15" i="1" s="1"/>
  <c r="J12" i="2" l="1"/>
  <c r="I14" i="2"/>
  <c r="D13" i="2"/>
  <c r="H13" i="2" s="1"/>
  <c r="I13" i="1"/>
  <c r="J13" i="1" s="1"/>
  <c r="K13" i="1" s="1"/>
  <c r="F16" i="1"/>
  <c r="G16" i="1" s="1"/>
  <c r="J13" i="2" l="1"/>
  <c r="I15" i="2"/>
  <c r="D14" i="2"/>
  <c r="H14" i="2" s="1"/>
  <c r="I14" i="1"/>
  <c r="J14" i="1" s="1"/>
  <c r="K14" i="1" s="1"/>
  <c r="F17" i="1"/>
  <c r="G17" i="1" s="1"/>
  <c r="J14" i="2" l="1"/>
  <c r="I16" i="2"/>
  <c r="D15" i="2"/>
  <c r="H15" i="2" s="1"/>
  <c r="I15" i="1"/>
  <c r="J15" i="1" s="1"/>
  <c r="K15" i="1" s="1"/>
  <c r="F18" i="1"/>
  <c r="G18" i="1" s="1"/>
  <c r="J15" i="2" l="1"/>
  <c r="I17" i="2"/>
  <c r="D16" i="2"/>
  <c r="H16" i="2" s="1"/>
  <c r="I16" i="1"/>
  <c r="J16" i="1" s="1"/>
  <c r="K16" i="1" s="1"/>
  <c r="F19" i="1"/>
  <c r="G19" i="1" s="1"/>
  <c r="J16" i="2" l="1"/>
  <c r="I18" i="2"/>
  <c r="D17" i="2"/>
  <c r="H17" i="2" s="1"/>
  <c r="I17" i="1"/>
  <c r="J17" i="1" s="1"/>
  <c r="K17" i="1" s="1"/>
  <c r="F20" i="1"/>
  <c r="G20" i="1" s="1"/>
  <c r="J17" i="2" l="1"/>
  <c r="I19" i="2"/>
  <c r="D18" i="2"/>
  <c r="H18" i="2" s="1"/>
  <c r="I18" i="1"/>
  <c r="J18" i="1" s="1"/>
  <c r="K18" i="1" s="1"/>
  <c r="F21" i="1"/>
  <c r="G21" i="1" s="1"/>
  <c r="J18" i="2" l="1"/>
  <c r="I20" i="2"/>
  <c r="D19" i="2"/>
  <c r="H19" i="2" s="1"/>
  <c r="I19" i="1"/>
  <c r="J19" i="1" s="1"/>
  <c r="K19" i="1" s="1"/>
  <c r="F22" i="1"/>
  <c r="G22" i="1" s="1"/>
  <c r="J19" i="2" l="1"/>
  <c r="I21" i="2"/>
  <c r="D20" i="2"/>
  <c r="H20" i="2" s="1"/>
  <c r="I20" i="1"/>
  <c r="J20" i="1" s="1"/>
  <c r="K20" i="1" s="1"/>
  <c r="F23" i="1"/>
  <c r="G23" i="1" s="1"/>
  <c r="J20" i="2" l="1"/>
  <c r="I22" i="2"/>
  <c r="D21" i="2"/>
  <c r="H21" i="2" s="1"/>
  <c r="I21" i="1"/>
  <c r="J21" i="1" s="1"/>
  <c r="K21" i="1" s="1"/>
  <c r="F24" i="1"/>
  <c r="G24" i="1" s="1"/>
  <c r="J21" i="2" l="1"/>
  <c r="I23" i="2"/>
  <c r="D22" i="2"/>
  <c r="H22" i="2" s="1"/>
  <c r="I22" i="1"/>
  <c r="J22" i="1" s="1"/>
  <c r="K22" i="1" s="1"/>
  <c r="F25" i="1"/>
  <c r="G25" i="1" s="1"/>
  <c r="J22" i="2" l="1"/>
  <c r="I24" i="2"/>
  <c r="D23" i="2"/>
  <c r="H23" i="2" s="1"/>
  <c r="I23" i="1"/>
  <c r="J23" i="1" s="1"/>
  <c r="K23" i="1" s="1"/>
  <c r="F26" i="1"/>
  <c r="G26" i="1" s="1"/>
  <c r="J23" i="2" l="1"/>
  <c r="I25" i="2"/>
  <c r="D24" i="2"/>
  <c r="H24" i="2" s="1"/>
  <c r="I24" i="1"/>
  <c r="J24" i="1" s="1"/>
  <c r="K24" i="1" s="1"/>
  <c r="F27" i="1"/>
  <c r="G27" i="1" s="1"/>
  <c r="J24" i="2" l="1"/>
  <c r="I26" i="2"/>
  <c r="D25" i="2"/>
  <c r="H25" i="2" s="1"/>
  <c r="I25" i="1"/>
  <c r="J25" i="1" s="1"/>
  <c r="K25" i="1" s="1"/>
  <c r="F28" i="1"/>
  <c r="G28" i="1" s="1"/>
  <c r="J25" i="2" l="1"/>
  <c r="I27" i="2"/>
  <c r="D26" i="2"/>
  <c r="H26" i="2" s="1"/>
  <c r="I26" i="1"/>
  <c r="J26" i="1" s="1"/>
  <c r="K26" i="1" s="1"/>
  <c r="I27" i="1"/>
  <c r="J27" i="1" s="1"/>
  <c r="K27" i="1" s="1"/>
  <c r="F29" i="1"/>
  <c r="G29" i="1" s="1"/>
  <c r="J26" i="2" l="1"/>
  <c r="I28" i="2"/>
  <c r="D27" i="2"/>
  <c r="H27" i="2" s="1"/>
  <c r="I28" i="1"/>
  <c r="J28" i="1" s="1"/>
  <c r="K28" i="1" s="1"/>
  <c r="F30" i="1"/>
  <c r="G30" i="1" s="1"/>
  <c r="J27" i="2" l="1"/>
  <c r="I29" i="2"/>
  <c r="D28" i="2"/>
  <c r="H28" i="2" s="1"/>
  <c r="I29" i="1"/>
  <c r="J29" i="1" s="1"/>
  <c r="K29" i="1" s="1"/>
  <c r="F31" i="1"/>
  <c r="G31" i="1" s="1"/>
  <c r="J28" i="2" l="1"/>
  <c r="I30" i="2"/>
  <c r="D29" i="2"/>
  <c r="H29" i="2" s="1"/>
  <c r="I30" i="1"/>
  <c r="J30" i="1" s="1"/>
  <c r="K30" i="1" s="1"/>
  <c r="F32" i="1"/>
  <c r="G32" i="1" s="1"/>
  <c r="J29" i="2" l="1"/>
  <c r="I31" i="2"/>
  <c r="D30" i="2"/>
  <c r="H30" i="2" s="1"/>
  <c r="I31" i="1"/>
  <c r="J31" i="1" s="1"/>
  <c r="K31" i="1" s="1"/>
  <c r="F33" i="1"/>
  <c r="G33" i="1" s="1"/>
  <c r="J30" i="2" l="1"/>
  <c r="I32" i="2"/>
  <c r="D31" i="2"/>
  <c r="H31" i="2" s="1"/>
  <c r="I32" i="1"/>
  <c r="J32" i="1" s="1"/>
  <c r="K32" i="1" s="1"/>
  <c r="F34" i="1"/>
  <c r="G34" i="1" s="1"/>
  <c r="J31" i="2" l="1"/>
  <c r="I33" i="2"/>
  <c r="D32" i="2"/>
  <c r="H32" i="2" s="1"/>
  <c r="I33" i="1"/>
  <c r="J33" i="1" s="1"/>
  <c r="K33" i="1" s="1"/>
  <c r="F35" i="1"/>
  <c r="G35" i="1" s="1"/>
  <c r="J32" i="2" l="1"/>
  <c r="I34" i="2"/>
  <c r="D33" i="2"/>
  <c r="H33" i="2" s="1"/>
  <c r="C34" i="2"/>
  <c r="D34" i="2"/>
  <c r="I34" i="1"/>
  <c r="J34" i="1" s="1"/>
  <c r="K34" i="1" s="1"/>
  <c r="F36" i="1"/>
  <c r="G36" i="1" s="1"/>
  <c r="H34" i="2" l="1"/>
  <c r="J34" i="2" s="1"/>
  <c r="J33" i="2"/>
  <c r="I35" i="1"/>
  <c r="J35" i="1" s="1"/>
  <c r="K35" i="1" s="1"/>
  <c r="F37" i="1"/>
  <c r="G37" i="1" s="1"/>
  <c r="I36" i="1" l="1"/>
  <c r="J36" i="1" s="1"/>
  <c r="K36" i="1" s="1"/>
  <c r="F38" i="1"/>
  <c r="G38" i="1" s="1"/>
  <c r="I37" i="1" l="1"/>
  <c r="J37" i="1" s="1"/>
  <c r="K37" i="1" s="1"/>
  <c r="F39" i="1"/>
  <c r="G39" i="1" s="1"/>
  <c r="I38" i="1" l="1"/>
  <c r="J38" i="1" s="1"/>
  <c r="K38" i="1" s="1"/>
  <c r="I39" i="1" l="1"/>
  <c r="J39" i="1" s="1"/>
  <c r="K39" i="1" s="1"/>
</calcChain>
</file>

<file path=xl/sharedStrings.xml><?xml version="1.0" encoding="utf-8"?>
<sst xmlns="http://schemas.openxmlformats.org/spreadsheetml/2006/main" count="21" uniqueCount="21">
  <si>
    <t>Expense</t>
  </si>
  <si>
    <t>Saving</t>
  </si>
  <si>
    <t>returns</t>
  </si>
  <si>
    <t>Total savings</t>
  </si>
  <si>
    <t>Years</t>
  </si>
  <si>
    <t>Difference</t>
  </si>
  <si>
    <t>Expense%</t>
  </si>
  <si>
    <t>Months</t>
  </si>
  <si>
    <t>Yearly Salary</t>
  </si>
  <si>
    <t>Monthly salary</t>
  </si>
  <si>
    <t>Saving%</t>
  </si>
  <si>
    <t>Rent vs Buy</t>
  </si>
  <si>
    <t>Rent</t>
  </si>
  <si>
    <t>Total</t>
  </si>
  <si>
    <t>Loan EMI</t>
  </si>
  <si>
    <t>Amount in account</t>
  </si>
  <si>
    <t>Home value</t>
  </si>
  <si>
    <t>Rent for a year</t>
  </si>
  <si>
    <t>EMI for a year</t>
  </si>
  <si>
    <t>Return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</si>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</sst>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22FF-2B55-4C74-AA95-7FE98C6FC59D}">
  <dimension ref="A4:K39"/>
  <sheetViews>
    <sheetView tabSelected="1" workbookViewId="0">
      <selection activeCell="G40" sqref="G40"/>
    </sheetView>
  </sheetViews>
  <sheetFormatPr defaultRowHeight="14.4" x14ac:dyDescent="0.3"/>
  <cols>
    <col min="1" max="1" width="5.6640625" bestFit="1" customWidth="1"/>
    <col min="2" max="2" width="13.5546875" bestFit="1" customWidth="1"/>
    <col min="3" max="3" width="11.77734375" bestFit="1" customWidth="1"/>
    <col min="4" max="4" width="8" bestFit="1" customWidth="1"/>
    <col min="5" max="5" width="9.44140625" bestFit="1" customWidth="1"/>
    <col min="6" max="6" width="7.88671875" bestFit="1" customWidth="1"/>
    <col min="7" max="7" width="7" bestFit="1" customWidth="1"/>
    <col min="8" max="8" width="7.109375" bestFit="1" customWidth="1"/>
    <col min="9" max="9" width="12.21875" bestFit="1" customWidth="1"/>
    <col min="10" max="10" width="12" bestFit="1" customWidth="1"/>
    <col min="11" max="11" width="12.6640625" bestFit="1" customWidth="1"/>
  </cols>
  <sheetData>
    <row r="4" spans="1:11" x14ac:dyDescent="0.3">
      <c r="A4" t="s">
        <v>4</v>
      </c>
      <c r="B4" t="s">
        <v>9</v>
      </c>
      <c r="C4" t="s">
        <v>8</v>
      </c>
      <c r="D4" t="s">
        <v>10</v>
      </c>
      <c r="E4" t="s">
        <v>6</v>
      </c>
      <c r="F4" t="s">
        <v>0</v>
      </c>
      <c r="G4" t="s">
        <v>1</v>
      </c>
      <c r="H4" t="s">
        <v>2</v>
      </c>
      <c r="I4" t="s">
        <v>3</v>
      </c>
      <c r="J4" t="s">
        <v>7</v>
      </c>
      <c r="K4" t="s">
        <v>5</v>
      </c>
    </row>
    <row r="5" spans="1:11" x14ac:dyDescent="0.3">
      <c r="A5">
        <v>1</v>
      </c>
      <c r="B5">
        <v>120000</v>
      </c>
      <c r="C5">
        <f>B5*12</f>
        <v>1440000</v>
      </c>
      <c r="D5" s="1">
        <v>0.6</v>
      </c>
      <c r="E5" s="1">
        <f>100%-D5</f>
        <v>0.4</v>
      </c>
      <c r="F5">
        <f>C5*E5</f>
        <v>576000</v>
      </c>
      <c r="G5">
        <f>C5-F5</f>
        <v>864000</v>
      </c>
      <c r="H5" s="1">
        <v>0.05</v>
      </c>
      <c r="I5">
        <f>G5</f>
        <v>864000</v>
      </c>
      <c r="J5">
        <f>I5/40</f>
        <v>21600</v>
      </c>
      <c r="K5">
        <f>J5-F5</f>
        <v>-554400</v>
      </c>
    </row>
    <row r="6" spans="1:11" x14ac:dyDescent="0.3">
      <c r="A6">
        <v>2</v>
      </c>
      <c r="B6">
        <v>120000</v>
      </c>
      <c r="C6">
        <f t="shared" ref="C6:C39" si="0">B6*12</f>
        <v>1440000</v>
      </c>
      <c r="D6" s="1">
        <v>0.6</v>
      </c>
      <c r="E6" s="1">
        <f t="shared" ref="E6:E39" si="1">100%-D6</f>
        <v>0.4</v>
      </c>
      <c r="F6">
        <f t="shared" ref="F6:F39" si="2">C6*E6</f>
        <v>576000</v>
      </c>
      <c r="G6">
        <f t="shared" ref="G6:G39" si="3">C6-F6</f>
        <v>864000</v>
      </c>
      <c r="H6" s="1">
        <v>0.05</v>
      </c>
      <c r="I6">
        <f>I5+I5*H6+G6</f>
        <v>1771200</v>
      </c>
      <c r="J6">
        <f t="shared" ref="J6:J39" si="4">I6/40</f>
        <v>44280</v>
      </c>
      <c r="K6">
        <f t="shared" ref="K6:K39" si="5">J6-F6</f>
        <v>-531720</v>
      </c>
    </row>
    <row r="7" spans="1:11" x14ac:dyDescent="0.3">
      <c r="A7">
        <v>3</v>
      </c>
      <c r="B7">
        <v>120000</v>
      </c>
      <c r="C7">
        <f t="shared" si="0"/>
        <v>1440000</v>
      </c>
      <c r="D7" s="1">
        <v>0.6</v>
      </c>
      <c r="E7" s="1">
        <f t="shared" si="1"/>
        <v>0.4</v>
      </c>
      <c r="F7">
        <f t="shared" si="2"/>
        <v>576000</v>
      </c>
      <c r="G7">
        <f t="shared" si="3"/>
        <v>864000</v>
      </c>
      <c r="H7" s="1">
        <v>0.05</v>
      </c>
      <c r="I7">
        <f>I6+I6*H7+G7</f>
        <v>2723760</v>
      </c>
      <c r="J7">
        <f t="shared" si="4"/>
        <v>68094</v>
      </c>
      <c r="K7">
        <f t="shared" si="5"/>
        <v>-507906</v>
      </c>
    </row>
    <row r="8" spans="1:11" x14ac:dyDescent="0.3">
      <c r="A8">
        <v>4</v>
      </c>
      <c r="B8">
        <v>120000</v>
      </c>
      <c r="C8">
        <f t="shared" si="0"/>
        <v>1440000</v>
      </c>
      <c r="D8" s="1">
        <v>0.6</v>
      </c>
      <c r="E8" s="1">
        <f t="shared" si="1"/>
        <v>0.4</v>
      </c>
      <c r="F8">
        <f t="shared" si="2"/>
        <v>576000</v>
      </c>
      <c r="G8">
        <f t="shared" si="3"/>
        <v>864000</v>
      </c>
      <c r="H8" s="1">
        <v>0.05</v>
      </c>
      <c r="I8">
        <f t="shared" ref="I8:I28" si="6">I7+I7*H8+G8</f>
        <v>3723948</v>
      </c>
      <c r="J8">
        <f t="shared" si="4"/>
        <v>93098.7</v>
      </c>
      <c r="K8">
        <f t="shared" si="5"/>
        <v>-482901.3</v>
      </c>
    </row>
    <row r="9" spans="1:11" x14ac:dyDescent="0.3">
      <c r="A9">
        <v>5</v>
      </c>
      <c r="B9">
        <v>120000</v>
      </c>
      <c r="C9">
        <f t="shared" si="0"/>
        <v>1440000</v>
      </c>
      <c r="D9" s="1">
        <v>0.6</v>
      </c>
      <c r="E9" s="1">
        <f t="shared" si="1"/>
        <v>0.4</v>
      </c>
      <c r="F9">
        <f t="shared" si="2"/>
        <v>576000</v>
      </c>
      <c r="G9">
        <f t="shared" si="3"/>
        <v>864000</v>
      </c>
      <c r="H9" s="1">
        <v>0.05</v>
      </c>
      <c r="I9">
        <f t="shared" si="6"/>
        <v>4774145.4000000004</v>
      </c>
      <c r="J9">
        <f t="shared" si="4"/>
        <v>119353.63500000001</v>
      </c>
      <c r="K9">
        <f t="shared" si="5"/>
        <v>-456646.36499999999</v>
      </c>
    </row>
    <row r="10" spans="1:11" x14ac:dyDescent="0.3">
      <c r="A10">
        <v>6</v>
      </c>
      <c r="B10">
        <v>120000</v>
      </c>
      <c r="C10">
        <f t="shared" si="0"/>
        <v>1440000</v>
      </c>
      <c r="D10" s="1">
        <v>0.6</v>
      </c>
      <c r="E10" s="1">
        <f t="shared" si="1"/>
        <v>0.4</v>
      </c>
      <c r="F10">
        <f t="shared" si="2"/>
        <v>576000</v>
      </c>
      <c r="G10">
        <f t="shared" si="3"/>
        <v>864000</v>
      </c>
      <c r="H10" s="1">
        <v>0.05</v>
      </c>
      <c r="I10">
        <f t="shared" si="6"/>
        <v>5876852.6699999999</v>
      </c>
      <c r="J10">
        <f t="shared" si="4"/>
        <v>146921.31675</v>
      </c>
      <c r="K10">
        <f t="shared" si="5"/>
        <v>-429078.68325</v>
      </c>
    </row>
    <row r="11" spans="1:11" x14ac:dyDescent="0.3">
      <c r="A11">
        <v>7</v>
      </c>
      <c r="B11">
        <v>120000</v>
      </c>
      <c r="C11">
        <f t="shared" si="0"/>
        <v>1440000</v>
      </c>
      <c r="D11" s="1">
        <v>0.6</v>
      </c>
      <c r="E11" s="1">
        <f t="shared" si="1"/>
        <v>0.4</v>
      </c>
      <c r="F11">
        <f t="shared" si="2"/>
        <v>576000</v>
      </c>
      <c r="G11">
        <f t="shared" si="3"/>
        <v>864000</v>
      </c>
      <c r="H11" s="1">
        <v>0.05</v>
      </c>
      <c r="I11">
        <f t="shared" si="6"/>
        <v>7034695.3035000004</v>
      </c>
      <c r="J11">
        <f t="shared" si="4"/>
        <v>175867.3825875</v>
      </c>
      <c r="K11">
        <f t="shared" si="5"/>
        <v>-400132.61741249997</v>
      </c>
    </row>
    <row r="12" spans="1:11" x14ac:dyDescent="0.3">
      <c r="A12">
        <v>8</v>
      </c>
      <c r="B12">
        <v>120000</v>
      </c>
      <c r="C12">
        <f t="shared" si="0"/>
        <v>1440000</v>
      </c>
      <c r="D12" s="1">
        <v>0.6</v>
      </c>
      <c r="E12" s="1">
        <f t="shared" si="1"/>
        <v>0.4</v>
      </c>
      <c r="F12">
        <f t="shared" si="2"/>
        <v>576000</v>
      </c>
      <c r="G12">
        <f t="shared" si="3"/>
        <v>864000</v>
      </c>
      <c r="H12" s="1">
        <v>0.05</v>
      </c>
      <c r="I12">
        <f t="shared" si="6"/>
        <v>8250430.0686750002</v>
      </c>
      <c r="J12">
        <f t="shared" si="4"/>
        <v>206260.75171687501</v>
      </c>
      <c r="K12">
        <f t="shared" si="5"/>
        <v>-369739.24828312499</v>
      </c>
    </row>
    <row r="13" spans="1:11" x14ac:dyDescent="0.3">
      <c r="A13">
        <v>9</v>
      </c>
      <c r="B13">
        <v>120000</v>
      </c>
      <c r="C13">
        <f t="shared" si="0"/>
        <v>1440000</v>
      </c>
      <c r="D13" s="1">
        <v>0.6</v>
      </c>
      <c r="E13" s="1">
        <f t="shared" si="1"/>
        <v>0.4</v>
      </c>
      <c r="F13">
        <f t="shared" si="2"/>
        <v>576000</v>
      </c>
      <c r="G13">
        <f t="shared" si="3"/>
        <v>864000</v>
      </c>
      <c r="H13" s="1">
        <v>0.05</v>
      </c>
      <c r="I13">
        <f t="shared" si="6"/>
        <v>9526951.5721087493</v>
      </c>
      <c r="J13">
        <f t="shared" si="4"/>
        <v>238173.78930271874</v>
      </c>
      <c r="K13">
        <f t="shared" si="5"/>
        <v>-337826.21069728129</v>
      </c>
    </row>
    <row r="14" spans="1:11" x14ac:dyDescent="0.3">
      <c r="A14">
        <v>10</v>
      </c>
      <c r="B14">
        <v>120000</v>
      </c>
      <c r="C14">
        <f t="shared" si="0"/>
        <v>1440000</v>
      </c>
      <c r="D14" s="1">
        <v>0.6</v>
      </c>
      <c r="E14" s="1">
        <f t="shared" si="1"/>
        <v>0.4</v>
      </c>
      <c r="F14">
        <f t="shared" si="2"/>
        <v>576000</v>
      </c>
      <c r="G14">
        <f t="shared" si="3"/>
        <v>864000</v>
      </c>
      <c r="H14" s="1">
        <v>0.05</v>
      </c>
      <c r="I14">
        <f t="shared" si="6"/>
        <v>10867299.150714187</v>
      </c>
      <c r="J14">
        <f t="shared" si="4"/>
        <v>271682.47876785469</v>
      </c>
      <c r="K14">
        <f t="shared" si="5"/>
        <v>-304317.52123214531</v>
      </c>
    </row>
    <row r="15" spans="1:11" x14ac:dyDescent="0.3">
      <c r="A15">
        <v>11</v>
      </c>
      <c r="B15">
        <v>120000</v>
      </c>
      <c r="C15">
        <f t="shared" si="0"/>
        <v>1440000</v>
      </c>
      <c r="D15" s="1">
        <v>0.6</v>
      </c>
      <c r="E15" s="1">
        <f t="shared" si="1"/>
        <v>0.4</v>
      </c>
      <c r="F15">
        <f t="shared" si="2"/>
        <v>576000</v>
      </c>
      <c r="G15">
        <f t="shared" si="3"/>
        <v>864000</v>
      </c>
      <c r="H15" s="1">
        <v>0.05</v>
      </c>
      <c r="I15">
        <f t="shared" si="6"/>
        <v>12274664.108249897</v>
      </c>
      <c r="J15">
        <f t="shared" si="4"/>
        <v>306866.60270624742</v>
      </c>
      <c r="K15">
        <f t="shared" si="5"/>
        <v>-269133.39729375258</v>
      </c>
    </row>
    <row r="16" spans="1:11" x14ac:dyDescent="0.3">
      <c r="A16">
        <v>12</v>
      </c>
      <c r="B16">
        <v>120000</v>
      </c>
      <c r="C16">
        <f t="shared" si="0"/>
        <v>1440000</v>
      </c>
      <c r="D16" s="1">
        <v>0.6</v>
      </c>
      <c r="E16" s="1">
        <f t="shared" si="1"/>
        <v>0.4</v>
      </c>
      <c r="F16">
        <f t="shared" si="2"/>
        <v>576000</v>
      </c>
      <c r="G16">
        <f t="shared" si="3"/>
        <v>864000</v>
      </c>
      <c r="H16" s="1">
        <v>0.05</v>
      </c>
      <c r="I16">
        <f t="shared" si="6"/>
        <v>13752397.313662391</v>
      </c>
      <c r="J16">
        <f t="shared" si="4"/>
        <v>343809.93284155976</v>
      </c>
      <c r="K16">
        <f t="shared" si="5"/>
        <v>-232190.06715844024</v>
      </c>
    </row>
    <row r="17" spans="1:11" x14ac:dyDescent="0.3">
      <c r="A17">
        <v>13</v>
      </c>
      <c r="B17">
        <v>120000</v>
      </c>
      <c r="C17">
        <f t="shared" si="0"/>
        <v>1440000</v>
      </c>
      <c r="D17" s="1">
        <v>0.6</v>
      </c>
      <c r="E17" s="1">
        <f t="shared" si="1"/>
        <v>0.4</v>
      </c>
      <c r="F17">
        <f t="shared" si="2"/>
        <v>576000</v>
      </c>
      <c r="G17">
        <f t="shared" si="3"/>
        <v>864000</v>
      </c>
      <c r="H17" s="1">
        <v>0.05</v>
      </c>
      <c r="I17">
        <f t="shared" si="6"/>
        <v>15304017.179345511</v>
      </c>
      <c r="J17">
        <f t="shared" si="4"/>
        <v>382600.4294836378</v>
      </c>
      <c r="K17">
        <f t="shared" si="5"/>
        <v>-193399.5705163622</v>
      </c>
    </row>
    <row r="18" spans="1:11" x14ac:dyDescent="0.3">
      <c r="A18">
        <v>14</v>
      </c>
      <c r="B18">
        <v>120000</v>
      </c>
      <c r="C18">
        <f t="shared" si="0"/>
        <v>1440000</v>
      </c>
      <c r="D18" s="1">
        <v>0.6</v>
      </c>
      <c r="E18" s="1">
        <f t="shared" si="1"/>
        <v>0.4</v>
      </c>
      <c r="F18">
        <f t="shared" si="2"/>
        <v>576000</v>
      </c>
      <c r="G18">
        <f t="shared" si="3"/>
        <v>864000</v>
      </c>
      <c r="H18" s="1">
        <v>0.05</v>
      </c>
      <c r="I18">
        <f t="shared" si="6"/>
        <v>16933218.038312785</v>
      </c>
      <c r="J18">
        <f t="shared" si="4"/>
        <v>423330.45095781964</v>
      </c>
      <c r="K18">
        <f t="shared" si="5"/>
        <v>-152669.54904218036</v>
      </c>
    </row>
    <row r="19" spans="1:11" x14ac:dyDescent="0.3">
      <c r="A19">
        <v>15</v>
      </c>
      <c r="B19">
        <v>120000</v>
      </c>
      <c r="C19">
        <f t="shared" si="0"/>
        <v>1440000</v>
      </c>
      <c r="D19" s="1">
        <v>0.6</v>
      </c>
      <c r="E19" s="1">
        <f t="shared" si="1"/>
        <v>0.4</v>
      </c>
      <c r="F19">
        <f t="shared" si="2"/>
        <v>576000</v>
      </c>
      <c r="G19">
        <f t="shared" si="3"/>
        <v>864000</v>
      </c>
      <c r="H19" s="1">
        <v>0.05</v>
      </c>
      <c r="I19">
        <f t="shared" si="6"/>
        <v>18643878.940228425</v>
      </c>
      <c r="J19">
        <f t="shared" si="4"/>
        <v>466096.9735057106</v>
      </c>
      <c r="K19">
        <f t="shared" si="5"/>
        <v>-109903.0264942894</v>
      </c>
    </row>
    <row r="20" spans="1:11" x14ac:dyDescent="0.3">
      <c r="A20">
        <v>16</v>
      </c>
      <c r="B20">
        <v>120000</v>
      </c>
      <c r="C20">
        <f t="shared" si="0"/>
        <v>1440000</v>
      </c>
      <c r="D20" s="1">
        <v>0.6</v>
      </c>
      <c r="E20" s="1">
        <f t="shared" si="1"/>
        <v>0.4</v>
      </c>
      <c r="F20">
        <f t="shared" si="2"/>
        <v>576000</v>
      </c>
      <c r="G20">
        <f t="shared" si="3"/>
        <v>864000</v>
      </c>
      <c r="H20" s="1">
        <v>0.05</v>
      </c>
      <c r="I20">
        <f t="shared" si="6"/>
        <v>20440072.887239847</v>
      </c>
      <c r="J20">
        <f t="shared" si="4"/>
        <v>511001.82218099618</v>
      </c>
      <c r="K20">
        <f t="shared" si="5"/>
        <v>-64998.177819003817</v>
      </c>
    </row>
    <row r="21" spans="1:11" x14ac:dyDescent="0.3">
      <c r="A21">
        <v>17</v>
      </c>
      <c r="B21">
        <v>120000</v>
      </c>
      <c r="C21">
        <f t="shared" si="0"/>
        <v>1440000</v>
      </c>
      <c r="D21" s="1">
        <v>0.6</v>
      </c>
      <c r="E21" s="1">
        <f t="shared" si="1"/>
        <v>0.4</v>
      </c>
      <c r="F21">
        <f t="shared" si="2"/>
        <v>576000</v>
      </c>
      <c r="G21">
        <f t="shared" si="3"/>
        <v>864000</v>
      </c>
      <c r="H21" s="1">
        <v>0.05</v>
      </c>
      <c r="I21">
        <f t="shared" si="6"/>
        <v>22326076.531601839</v>
      </c>
      <c r="J21">
        <f t="shared" si="4"/>
        <v>558151.91329004592</v>
      </c>
      <c r="K21">
        <f t="shared" si="5"/>
        <v>-17848.086709954077</v>
      </c>
    </row>
    <row r="22" spans="1:11" x14ac:dyDescent="0.3">
      <c r="A22">
        <v>18</v>
      </c>
      <c r="B22">
        <v>120000</v>
      </c>
      <c r="C22">
        <f t="shared" si="0"/>
        <v>1440000</v>
      </c>
      <c r="D22" s="1">
        <v>0.6</v>
      </c>
      <c r="E22" s="1">
        <f t="shared" si="1"/>
        <v>0.4</v>
      </c>
      <c r="F22">
        <f t="shared" si="2"/>
        <v>576000</v>
      </c>
      <c r="G22">
        <f t="shared" si="3"/>
        <v>864000</v>
      </c>
      <c r="H22" s="1">
        <v>0.05</v>
      </c>
      <c r="I22">
        <f t="shared" si="6"/>
        <v>24306380.358181931</v>
      </c>
      <c r="J22">
        <f t="shared" si="4"/>
        <v>607659.50895454828</v>
      </c>
      <c r="K22">
        <f t="shared" si="5"/>
        <v>31659.508954548277</v>
      </c>
    </row>
    <row r="23" spans="1:11" x14ac:dyDescent="0.3">
      <c r="A23">
        <v>19</v>
      </c>
      <c r="B23">
        <v>120000</v>
      </c>
      <c r="C23">
        <f t="shared" si="0"/>
        <v>1440000</v>
      </c>
      <c r="D23" s="1">
        <v>0.6</v>
      </c>
      <c r="E23" s="1">
        <f t="shared" si="1"/>
        <v>0.4</v>
      </c>
      <c r="F23">
        <f t="shared" si="2"/>
        <v>576000</v>
      </c>
      <c r="G23">
        <f t="shared" si="3"/>
        <v>864000</v>
      </c>
      <c r="H23" s="1">
        <v>0.05</v>
      </c>
      <c r="I23">
        <f t="shared" si="6"/>
        <v>26385699.376091026</v>
      </c>
      <c r="J23">
        <f t="shared" si="4"/>
        <v>659642.48440227564</v>
      </c>
      <c r="K23">
        <f t="shared" si="5"/>
        <v>83642.484402275644</v>
      </c>
    </row>
    <row r="24" spans="1:11" x14ac:dyDescent="0.3">
      <c r="A24">
        <v>20</v>
      </c>
      <c r="B24">
        <v>120000</v>
      </c>
      <c r="C24">
        <f t="shared" si="0"/>
        <v>1440000</v>
      </c>
      <c r="D24" s="1">
        <v>0.6</v>
      </c>
      <c r="E24" s="1">
        <f t="shared" si="1"/>
        <v>0.4</v>
      </c>
      <c r="F24">
        <f t="shared" si="2"/>
        <v>576000</v>
      </c>
      <c r="G24">
        <f t="shared" si="3"/>
        <v>864000</v>
      </c>
      <c r="H24" s="1">
        <v>0.05</v>
      </c>
      <c r="I24">
        <f t="shared" si="6"/>
        <v>28568984.344895579</v>
      </c>
      <c r="J24">
        <f t="shared" si="4"/>
        <v>714224.6086223895</v>
      </c>
      <c r="K24">
        <f t="shared" si="5"/>
        <v>138224.6086223895</v>
      </c>
    </row>
    <row r="25" spans="1:11" x14ac:dyDescent="0.3">
      <c r="A25">
        <v>21</v>
      </c>
      <c r="B25">
        <v>120000</v>
      </c>
      <c r="C25">
        <f t="shared" si="0"/>
        <v>1440000</v>
      </c>
      <c r="D25" s="1">
        <v>0.6</v>
      </c>
      <c r="E25" s="1">
        <f t="shared" si="1"/>
        <v>0.4</v>
      </c>
      <c r="F25">
        <f t="shared" si="2"/>
        <v>576000</v>
      </c>
      <c r="G25">
        <f t="shared" si="3"/>
        <v>864000</v>
      </c>
      <c r="H25" s="1">
        <v>0.05</v>
      </c>
      <c r="I25">
        <f t="shared" si="6"/>
        <v>30861433.562140357</v>
      </c>
      <c r="J25">
        <f t="shared" si="4"/>
        <v>771535.83905350894</v>
      </c>
      <c r="K25">
        <f t="shared" si="5"/>
        <v>195535.83905350894</v>
      </c>
    </row>
    <row r="26" spans="1:11" x14ac:dyDescent="0.3">
      <c r="A26">
        <v>22</v>
      </c>
      <c r="B26">
        <v>120000</v>
      </c>
      <c r="C26">
        <f t="shared" si="0"/>
        <v>1440000</v>
      </c>
      <c r="D26" s="1">
        <v>0.6</v>
      </c>
      <c r="E26" s="1">
        <f t="shared" si="1"/>
        <v>0.4</v>
      </c>
      <c r="F26">
        <f t="shared" si="2"/>
        <v>576000</v>
      </c>
      <c r="G26">
        <f t="shared" si="3"/>
        <v>864000</v>
      </c>
      <c r="H26" s="1">
        <v>0.05</v>
      </c>
      <c r="I26">
        <f t="shared" si="6"/>
        <v>33268505.240247376</v>
      </c>
      <c r="J26">
        <f t="shared" si="4"/>
        <v>831712.63100618438</v>
      </c>
      <c r="K26">
        <f t="shared" si="5"/>
        <v>255712.63100618438</v>
      </c>
    </row>
    <row r="27" spans="1:11" x14ac:dyDescent="0.3">
      <c r="A27">
        <v>23</v>
      </c>
      <c r="B27">
        <v>120000</v>
      </c>
      <c r="C27">
        <f t="shared" si="0"/>
        <v>1440000</v>
      </c>
      <c r="D27" s="1">
        <v>0.6</v>
      </c>
      <c r="E27" s="1">
        <f t="shared" si="1"/>
        <v>0.4</v>
      </c>
      <c r="F27">
        <f t="shared" si="2"/>
        <v>576000</v>
      </c>
      <c r="G27">
        <f t="shared" si="3"/>
        <v>864000</v>
      </c>
      <c r="H27" s="1">
        <v>0.05</v>
      </c>
      <c r="I27">
        <f t="shared" si="6"/>
        <v>35795930.502259746</v>
      </c>
      <c r="J27">
        <f t="shared" si="4"/>
        <v>894898.26255649363</v>
      </c>
      <c r="K27">
        <f t="shared" si="5"/>
        <v>318898.26255649363</v>
      </c>
    </row>
    <row r="28" spans="1:11" x14ac:dyDescent="0.3">
      <c r="A28">
        <v>24</v>
      </c>
      <c r="B28">
        <v>120000</v>
      </c>
      <c r="C28">
        <f t="shared" si="0"/>
        <v>1440000</v>
      </c>
      <c r="D28" s="1">
        <v>0.6</v>
      </c>
      <c r="E28" s="1">
        <f t="shared" si="1"/>
        <v>0.4</v>
      </c>
      <c r="F28">
        <f t="shared" si="2"/>
        <v>576000</v>
      </c>
      <c r="G28">
        <f t="shared" si="3"/>
        <v>864000</v>
      </c>
      <c r="H28" s="1">
        <v>0.05</v>
      </c>
      <c r="I28">
        <f t="shared" si="6"/>
        <v>38449727.027372733</v>
      </c>
      <c r="J28">
        <f t="shared" si="4"/>
        <v>961243.1756843183</v>
      </c>
      <c r="K28">
        <f t="shared" si="5"/>
        <v>385243.1756843183</v>
      </c>
    </row>
    <row r="29" spans="1:11" x14ac:dyDescent="0.3">
      <c r="A29">
        <v>25</v>
      </c>
      <c r="B29">
        <v>120000</v>
      </c>
      <c r="C29">
        <f t="shared" si="0"/>
        <v>1440000</v>
      </c>
      <c r="D29" s="1">
        <v>0.6</v>
      </c>
      <c r="E29" s="1">
        <f t="shared" si="1"/>
        <v>0.4</v>
      </c>
      <c r="F29">
        <f t="shared" si="2"/>
        <v>576000</v>
      </c>
      <c r="G29">
        <f t="shared" si="3"/>
        <v>864000</v>
      </c>
      <c r="H29" s="1">
        <v>0.05</v>
      </c>
      <c r="I29">
        <f t="shared" ref="I29:I34" si="7">I28+I28*H29+G29</f>
        <v>41236213.378741369</v>
      </c>
      <c r="J29">
        <f t="shared" si="4"/>
        <v>1030905.3344685342</v>
      </c>
      <c r="K29">
        <f t="shared" si="5"/>
        <v>454905.33446853422</v>
      </c>
    </row>
    <row r="30" spans="1:11" x14ac:dyDescent="0.3">
      <c r="A30">
        <v>26</v>
      </c>
      <c r="B30">
        <v>120000</v>
      </c>
      <c r="C30">
        <f t="shared" si="0"/>
        <v>1440000</v>
      </c>
      <c r="D30" s="1">
        <v>0.6</v>
      </c>
      <c r="E30" s="1">
        <f t="shared" si="1"/>
        <v>0.4</v>
      </c>
      <c r="F30">
        <f t="shared" si="2"/>
        <v>576000</v>
      </c>
      <c r="G30">
        <f t="shared" si="3"/>
        <v>864000</v>
      </c>
      <c r="H30" s="1">
        <v>0.05</v>
      </c>
      <c r="I30">
        <f t="shared" si="7"/>
        <v>44162024.047678441</v>
      </c>
      <c r="J30">
        <f t="shared" si="4"/>
        <v>1104050.601191961</v>
      </c>
      <c r="K30">
        <f t="shared" si="5"/>
        <v>528050.60119196097</v>
      </c>
    </row>
    <row r="31" spans="1:11" x14ac:dyDescent="0.3">
      <c r="A31">
        <v>27</v>
      </c>
      <c r="B31">
        <v>120000</v>
      </c>
      <c r="C31">
        <f t="shared" si="0"/>
        <v>1440000</v>
      </c>
      <c r="D31" s="1">
        <v>0.6</v>
      </c>
      <c r="E31" s="1">
        <f t="shared" si="1"/>
        <v>0.4</v>
      </c>
      <c r="F31">
        <f t="shared" si="2"/>
        <v>576000</v>
      </c>
      <c r="G31">
        <f t="shared" si="3"/>
        <v>864000</v>
      </c>
      <c r="H31" s="1">
        <v>0.05</v>
      </c>
      <c r="I31">
        <f t="shared" si="7"/>
        <v>47234125.250062361</v>
      </c>
      <c r="J31">
        <f t="shared" si="4"/>
        <v>1180853.1312515591</v>
      </c>
      <c r="K31">
        <f t="shared" si="5"/>
        <v>604853.13125155913</v>
      </c>
    </row>
    <row r="32" spans="1:11" x14ac:dyDescent="0.3">
      <c r="A32">
        <v>28</v>
      </c>
      <c r="B32">
        <v>120000</v>
      </c>
      <c r="C32">
        <f t="shared" si="0"/>
        <v>1440000</v>
      </c>
      <c r="D32" s="1">
        <v>0.6</v>
      </c>
      <c r="E32" s="1">
        <f t="shared" si="1"/>
        <v>0.4</v>
      </c>
      <c r="F32">
        <f t="shared" si="2"/>
        <v>576000</v>
      </c>
      <c r="G32">
        <f t="shared" si="3"/>
        <v>864000</v>
      </c>
      <c r="H32" s="1">
        <v>0.05</v>
      </c>
      <c r="I32">
        <f t="shared" si="7"/>
        <v>50459831.512565479</v>
      </c>
      <c r="J32">
        <f t="shared" si="4"/>
        <v>1261495.7878141371</v>
      </c>
      <c r="K32">
        <f t="shared" si="5"/>
        <v>685495.78781413706</v>
      </c>
    </row>
    <row r="33" spans="1:11" x14ac:dyDescent="0.3">
      <c r="A33">
        <v>29</v>
      </c>
      <c r="B33">
        <v>120000</v>
      </c>
      <c r="C33">
        <f t="shared" si="0"/>
        <v>1440000</v>
      </c>
      <c r="D33" s="1">
        <v>0.6</v>
      </c>
      <c r="E33" s="1">
        <f t="shared" si="1"/>
        <v>0.4</v>
      </c>
      <c r="F33">
        <f t="shared" si="2"/>
        <v>576000</v>
      </c>
      <c r="G33">
        <f t="shared" si="3"/>
        <v>864000</v>
      </c>
      <c r="H33" s="1">
        <v>0.05</v>
      </c>
      <c r="I33">
        <f t="shared" si="7"/>
        <v>53846823.088193752</v>
      </c>
      <c r="J33">
        <f t="shared" si="4"/>
        <v>1346170.5772048438</v>
      </c>
      <c r="K33">
        <f t="shared" si="5"/>
        <v>770170.57720484375</v>
      </c>
    </row>
    <row r="34" spans="1:11" x14ac:dyDescent="0.3">
      <c r="A34">
        <v>30</v>
      </c>
      <c r="B34">
        <v>120000</v>
      </c>
      <c r="C34">
        <f t="shared" si="0"/>
        <v>1440000</v>
      </c>
      <c r="D34" s="1">
        <v>0.6</v>
      </c>
      <c r="E34" s="1">
        <f t="shared" si="1"/>
        <v>0.4</v>
      </c>
      <c r="F34">
        <f t="shared" si="2"/>
        <v>576000</v>
      </c>
      <c r="G34">
        <f t="shared" si="3"/>
        <v>864000</v>
      </c>
      <c r="H34" s="1">
        <v>0.05</v>
      </c>
      <c r="I34">
        <f t="shared" si="7"/>
        <v>57403164.242603436</v>
      </c>
      <c r="J34">
        <f t="shared" si="4"/>
        <v>1435079.1060650859</v>
      </c>
      <c r="K34">
        <f t="shared" si="5"/>
        <v>859079.10606508586</v>
      </c>
    </row>
    <row r="35" spans="1:11" x14ac:dyDescent="0.3">
      <c r="A35">
        <v>31</v>
      </c>
      <c r="B35">
        <v>120000</v>
      </c>
      <c r="C35">
        <f t="shared" si="0"/>
        <v>1440000</v>
      </c>
      <c r="D35" s="1">
        <v>0.6</v>
      </c>
      <c r="E35" s="1">
        <f t="shared" si="1"/>
        <v>0.4</v>
      </c>
      <c r="F35">
        <f t="shared" si="2"/>
        <v>576000</v>
      </c>
      <c r="G35">
        <f t="shared" si="3"/>
        <v>864000</v>
      </c>
      <c r="H35" s="1">
        <v>0.05</v>
      </c>
      <c r="I35">
        <f t="shared" ref="I35:I39" si="8">I34+I34*H35+G35</f>
        <v>61137322.45473361</v>
      </c>
      <c r="J35">
        <f t="shared" si="4"/>
        <v>1528433.0613683402</v>
      </c>
      <c r="K35">
        <f t="shared" si="5"/>
        <v>952433.06136834016</v>
      </c>
    </row>
    <row r="36" spans="1:11" x14ac:dyDescent="0.3">
      <c r="A36">
        <v>32</v>
      </c>
      <c r="B36">
        <v>120000</v>
      </c>
      <c r="C36">
        <f t="shared" si="0"/>
        <v>1440000</v>
      </c>
      <c r="D36" s="1">
        <v>0.6</v>
      </c>
      <c r="E36" s="1">
        <f t="shared" si="1"/>
        <v>0.4</v>
      </c>
      <c r="F36">
        <f t="shared" si="2"/>
        <v>576000</v>
      </c>
      <c r="G36">
        <f t="shared" si="3"/>
        <v>864000</v>
      </c>
      <c r="H36" s="1">
        <v>0.05</v>
      </c>
      <c r="I36">
        <f t="shared" si="8"/>
        <v>65058188.577470288</v>
      </c>
      <c r="J36">
        <f t="shared" si="4"/>
        <v>1626454.7144367571</v>
      </c>
      <c r="K36">
        <f t="shared" si="5"/>
        <v>1050454.7144367571</v>
      </c>
    </row>
    <row r="37" spans="1:11" x14ac:dyDescent="0.3">
      <c r="A37">
        <v>33</v>
      </c>
      <c r="B37">
        <v>120000</v>
      </c>
      <c r="C37">
        <f t="shared" si="0"/>
        <v>1440000</v>
      </c>
      <c r="D37" s="1">
        <v>0.6</v>
      </c>
      <c r="E37" s="1">
        <f t="shared" si="1"/>
        <v>0.4</v>
      </c>
      <c r="F37">
        <f t="shared" si="2"/>
        <v>576000</v>
      </c>
      <c r="G37">
        <f t="shared" si="3"/>
        <v>864000</v>
      </c>
      <c r="H37" s="1">
        <v>0.05</v>
      </c>
      <c r="I37">
        <f t="shared" si="8"/>
        <v>69175098.006343797</v>
      </c>
      <c r="J37">
        <f t="shared" si="4"/>
        <v>1729377.4501585949</v>
      </c>
      <c r="K37">
        <f t="shared" si="5"/>
        <v>1153377.4501585949</v>
      </c>
    </row>
    <row r="38" spans="1:11" x14ac:dyDescent="0.3">
      <c r="A38">
        <v>34</v>
      </c>
      <c r="B38">
        <v>120000</v>
      </c>
      <c r="C38">
        <f t="shared" si="0"/>
        <v>1440000</v>
      </c>
      <c r="D38" s="1">
        <v>0.6</v>
      </c>
      <c r="E38" s="1">
        <f t="shared" si="1"/>
        <v>0.4</v>
      </c>
      <c r="F38">
        <f t="shared" si="2"/>
        <v>576000</v>
      </c>
      <c r="G38">
        <f t="shared" si="3"/>
        <v>864000</v>
      </c>
      <c r="H38" s="1">
        <v>0.05</v>
      </c>
      <c r="I38">
        <f t="shared" si="8"/>
        <v>73497852.906660989</v>
      </c>
      <c r="J38">
        <f t="shared" si="4"/>
        <v>1837446.3226665247</v>
      </c>
      <c r="K38">
        <f t="shared" si="5"/>
        <v>1261446.3226665247</v>
      </c>
    </row>
    <row r="39" spans="1:11" x14ac:dyDescent="0.3">
      <c r="A39">
        <v>35</v>
      </c>
      <c r="B39">
        <v>120000</v>
      </c>
      <c r="C39">
        <f t="shared" si="0"/>
        <v>1440000</v>
      </c>
      <c r="D39" s="1">
        <v>0.6</v>
      </c>
      <c r="E39" s="1">
        <f t="shared" si="1"/>
        <v>0.4</v>
      </c>
      <c r="F39">
        <f t="shared" si="2"/>
        <v>576000</v>
      </c>
      <c r="G39">
        <f t="shared" si="3"/>
        <v>864000</v>
      </c>
      <c r="H39" s="1">
        <v>0.05</v>
      </c>
      <c r="I39">
        <f t="shared" si="8"/>
        <v>78036745.551994041</v>
      </c>
      <c r="J39">
        <f t="shared" si="4"/>
        <v>1950918.6387998511</v>
      </c>
      <c r="K39">
        <f t="shared" si="5"/>
        <v>1374918.6387998511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922C-1C72-4F61-93F3-393D66BE932A}">
  <dimension ref="A1:J34"/>
  <sheetViews>
    <sheetView workbookViewId="0">
      <selection activeCell="A19" sqref="A19:XFD19"/>
    </sheetView>
  </sheetViews>
  <sheetFormatPr defaultRowHeight="14.4" x14ac:dyDescent="0.3"/>
  <cols>
    <col min="1" max="1" width="10.44140625" style="3" bestFit="1" customWidth="1"/>
    <col min="2" max="2" width="8.88671875" style="3"/>
    <col min="3" max="3" width="9.5546875" style="3" bestFit="1" customWidth="1"/>
    <col min="4" max="4" width="13.33203125" style="3" bestFit="1" customWidth="1"/>
    <col min="5" max="5" width="9.5546875" style="3" bestFit="1" customWidth="1"/>
    <col min="6" max="6" width="12.44140625" style="3" bestFit="1" customWidth="1"/>
    <col min="7" max="7" width="6.5546875" style="2" bestFit="1" customWidth="1"/>
    <col min="8" max="8" width="17.44140625" style="3" bestFit="1" customWidth="1"/>
    <col min="9" max="9" width="11.5546875" style="3" bestFit="1" customWidth="1"/>
    <col min="10" max="10" width="12.77734375" style="3" bestFit="1" customWidth="1"/>
    <col min="11" max="16384" width="8.88671875" style="3"/>
  </cols>
  <sheetData>
    <row r="1" spans="1:10" x14ac:dyDescent="0.3">
      <c r="A1" s="3" t="s">
        <v>11</v>
      </c>
    </row>
    <row r="2" spans="1:10" x14ac:dyDescent="0.3">
      <c r="C2" s="3" t="s">
        <v>12</v>
      </c>
      <c r="D2" s="3" t="s">
        <v>17</v>
      </c>
      <c r="E2" s="3" t="s">
        <v>14</v>
      </c>
      <c r="F2" s="3" t="s">
        <v>18</v>
      </c>
      <c r="G2" s="2" t="s">
        <v>19</v>
      </c>
      <c r="H2" s="3" t="s">
        <v>15</v>
      </c>
      <c r="I2" s="3" t="s">
        <v>16</v>
      </c>
      <c r="J2" s="3" t="s">
        <v>20</v>
      </c>
    </row>
    <row r="3" spans="1:10" x14ac:dyDescent="0.3">
      <c r="C3" s="3">
        <v>0</v>
      </c>
      <c r="E3" s="3">
        <v>2000000</v>
      </c>
      <c r="F3" s="3">
        <v>0</v>
      </c>
      <c r="G3" s="2">
        <v>0.12</v>
      </c>
      <c r="H3" s="3">
        <f>E3</f>
        <v>2000000</v>
      </c>
      <c r="I3" s="3">
        <v>10000000</v>
      </c>
      <c r="J3" s="3">
        <f>I3-H3</f>
        <v>8000000</v>
      </c>
    </row>
    <row r="4" spans="1:10" x14ac:dyDescent="0.3">
      <c r="C4" s="3">
        <v>20000</v>
      </c>
      <c r="D4" s="3">
        <f>C4*12</f>
        <v>240000</v>
      </c>
      <c r="E4" s="3">
        <v>50000</v>
      </c>
      <c r="F4" s="3">
        <f>E4*12</f>
        <v>600000</v>
      </c>
      <c r="G4" s="2">
        <v>0.12</v>
      </c>
      <c r="H4" s="3">
        <f>H3+H3*G4+F4-D4</f>
        <v>2600000</v>
      </c>
      <c r="I4" s="3">
        <f>I3*0.04+I3</f>
        <v>10400000</v>
      </c>
      <c r="J4" s="3">
        <f t="shared" ref="J4:J34" si="0">I4-H4</f>
        <v>7800000</v>
      </c>
    </row>
    <row r="5" spans="1:10" x14ac:dyDescent="0.3">
      <c r="C5" s="3">
        <f>C4+C4*0.1</f>
        <v>22000</v>
      </c>
      <c r="D5" s="3">
        <f t="shared" ref="D5:D33" si="1">C5*12</f>
        <v>264000</v>
      </c>
      <c r="E5" s="3">
        <v>50000</v>
      </c>
      <c r="F5" s="3">
        <f t="shared" ref="F5:F33" si="2">E5*12</f>
        <v>600000</v>
      </c>
      <c r="G5" s="2">
        <v>0.12</v>
      </c>
      <c r="H5" s="3">
        <f t="shared" ref="H5:H33" si="3">H4+H4*G5+F5-D5</f>
        <v>3248000</v>
      </c>
      <c r="I5" s="3">
        <f t="shared" ref="I5:I33" si="4">I4*0.04+I4</f>
        <v>10816000</v>
      </c>
      <c r="J5" s="3">
        <f t="shared" si="0"/>
        <v>7568000</v>
      </c>
    </row>
    <row r="6" spans="1:10" x14ac:dyDescent="0.3">
      <c r="C6" s="3">
        <f t="shared" ref="C6:C33" si="5">C5+C5*0.1</f>
        <v>24200</v>
      </c>
      <c r="D6" s="3">
        <f t="shared" si="1"/>
        <v>290400</v>
      </c>
      <c r="E6" s="3">
        <v>50000</v>
      </c>
      <c r="F6" s="3">
        <f t="shared" si="2"/>
        <v>600000</v>
      </c>
      <c r="G6" s="2">
        <v>0.12</v>
      </c>
      <c r="H6" s="3">
        <f t="shared" si="3"/>
        <v>3947360</v>
      </c>
      <c r="I6" s="3">
        <f t="shared" si="4"/>
        <v>11248640</v>
      </c>
      <c r="J6" s="3">
        <f t="shared" si="0"/>
        <v>7301280</v>
      </c>
    </row>
    <row r="7" spans="1:10" x14ac:dyDescent="0.3">
      <c r="C7" s="3">
        <f t="shared" si="5"/>
        <v>26620</v>
      </c>
      <c r="D7" s="3">
        <f t="shared" si="1"/>
        <v>319440</v>
      </c>
      <c r="E7" s="3">
        <v>50000</v>
      </c>
      <c r="F7" s="3">
        <f t="shared" si="2"/>
        <v>600000</v>
      </c>
      <c r="G7" s="2">
        <v>0.12</v>
      </c>
      <c r="H7" s="3">
        <f t="shared" si="3"/>
        <v>4701603.2</v>
      </c>
      <c r="I7" s="3">
        <f t="shared" si="4"/>
        <v>11698585.6</v>
      </c>
      <c r="J7" s="3">
        <f t="shared" si="0"/>
        <v>6996982.3999999994</v>
      </c>
    </row>
    <row r="8" spans="1:10" x14ac:dyDescent="0.3">
      <c r="C8" s="3">
        <f t="shared" si="5"/>
        <v>29282</v>
      </c>
      <c r="D8" s="3">
        <f t="shared" si="1"/>
        <v>351384</v>
      </c>
      <c r="E8" s="3">
        <v>50000</v>
      </c>
      <c r="F8" s="3">
        <f t="shared" si="2"/>
        <v>600000</v>
      </c>
      <c r="G8" s="2">
        <v>0.12</v>
      </c>
      <c r="H8" s="3">
        <f t="shared" si="3"/>
        <v>5514411.5839999998</v>
      </c>
      <c r="I8" s="3">
        <f t="shared" si="4"/>
        <v>12166529.024</v>
      </c>
      <c r="J8" s="3">
        <f t="shared" si="0"/>
        <v>6652117.4400000004</v>
      </c>
    </row>
    <row r="9" spans="1:10" x14ac:dyDescent="0.3">
      <c r="C9" s="3">
        <f t="shared" si="5"/>
        <v>32210.2</v>
      </c>
      <c r="D9" s="3">
        <f t="shared" si="1"/>
        <v>386522.4</v>
      </c>
      <c r="E9" s="3">
        <v>50000</v>
      </c>
      <c r="F9" s="3">
        <f t="shared" si="2"/>
        <v>600000</v>
      </c>
      <c r="G9" s="2">
        <v>0.12</v>
      </c>
      <c r="H9" s="3">
        <f t="shared" si="3"/>
        <v>6389618.5740799997</v>
      </c>
      <c r="I9" s="3">
        <f t="shared" si="4"/>
        <v>12653190.18496</v>
      </c>
      <c r="J9" s="3">
        <f t="shared" si="0"/>
        <v>6263571.6108800005</v>
      </c>
    </row>
    <row r="10" spans="1:10" x14ac:dyDescent="0.3">
      <c r="C10" s="3">
        <f t="shared" si="5"/>
        <v>35431.22</v>
      </c>
      <c r="D10" s="3">
        <f t="shared" si="1"/>
        <v>425174.64</v>
      </c>
      <c r="E10" s="3">
        <v>50000</v>
      </c>
      <c r="F10" s="3">
        <f t="shared" si="2"/>
        <v>600000</v>
      </c>
      <c r="G10" s="2">
        <v>0.12</v>
      </c>
      <c r="H10" s="3">
        <f t="shared" si="3"/>
        <v>7331198.1629695995</v>
      </c>
      <c r="I10" s="3">
        <f t="shared" si="4"/>
        <v>13159317.7923584</v>
      </c>
      <c r="J10" s="3">
        <f t="shared" si="0"/>
        <v>5828119.6293888008</v>
      </c>
    </row>
    <row r="11" spans="1:10" x14ac:dyDescent="0.3">
      <c r="C11" s="3">
        <f t="shared" si="5"/>
        <v>38974.342000000004</v>
      </c>
      <c r="D11" s="3">
        <f t="shared" si="1"/>
        <v>467692.10400000005</v>
      </c>
      <c r="E11" s="3">
        <v>50000</v>
      </c>
      <c r="F11" s="3">
        <f t="shared" si="2"/>
        <v>600000</v>
      </c>
      <c r="G11" s="2">
        <v>0.12</v>
      </c>
      <c r="H11" s="3">
        <f t="shared" si="3"/>
        <v>8343249.8385259509</v>
      </c>
      <c r="I11" s="3">
        <f t="shared" si="4"/>
        <v>13685690.504052736</v>
      </c>
      <c r="J11" s="3">
        <f t="shared" si="0"/>
        <v>5342440.665526785</v>
      </c>
    </row>
    <row r="12" spans="1:10" x14ac:dyDescent="0.3">
      <c r="C12" s="3">
        <f t="shared" si="5"/>
        <v>42871.776200000008</v>
      </c>
      <c r="D12" s="3">
        <f t="shared" si="1"/>
        <v>514461.31440000009</v>
      </c>
      <c r="E12" s="3">
        <v>50000</v>
      </c>
      <c r="F12" s="3">
        <f t="shared" si="2"/>
        <v>600000</v>
      </c>
      <c r="G12" s="2">
        <v>0.12</v>
      </c>
      <c r="H12" s="3">
        <f t="shared" si="3"/>
        <v>9429978.5047490653</v>
      </c>
      <c r="I12" s="3">
        <f t="shared" si="4"/>
        <v>14233118.124214845</v>
      </c>
      <c r="J12" s="3">
        <f t="shared" si="0"/>
        <v>4803139.6194657795</v>
      </c>
    </row>
    <row r="13" spans="1:10" x14ac:dyDescent="0.3">
      <c r="C13" s="3">
        <f t="shared" si="5"/>
        <v>47158.95382000001</v>
      </c>
      <c r="D13" s="3">
        <f t="shared" si="1"/>
        <v>565907.44584000017</v>
      </c>
      <c r="E13" s="3">
        <v>50000</v>
      </c>
      <c r="F13" s="3">
        <f t="shared" si="2"/>
        <v>600000</v>
      </c>
      <c r="G13" s="2">
        <v>0.12</v>
      </c>
      <c r="H13" s="3">
        <f t="shared" si="3"/>
        <v>10595668.479478952</v>
      </c>
      <c r="I13" s="3">
        <f t="shared" si="4"/>
        <v>14802442.849183438</v>
      </c>
      <c r="J13" s="3">
        <f t="shared" si="0"/>
        <v>4206774.3697044868</v>
      </c>
    </row>
    <row r="14" spans="1:10" x14ac:dyDescent="0.3">
      <c r="C14" s="3">
        <f t="shared" si="5"/>
        <v>51874.849202000012</v>
      </c>
      <c r="D14" s="3">
        <f t="shared" si="1"/>
        <v>622498.19042400015</v>
      </c>
      <c r="E14" s="3">
        <v>50000</v>
      </c>
      <c r="F14" s="3">
        <f t="shared" si="2"/>
        <v>600000</v>
      </c>
      <c r="G14" s="2">
        <v>0.12</v>
      </c>
      <c r="H14" s="3">
        <f t="shared" si="3"/>
        <v>11844650.506592425</v>
      </c>
      <c r="I14" s="3">
        <f t="shared" si="4"/>
        <v>15394540.563150777</v>
      </c>
      <c r="J14" s="3">
        <f t="shared" si="0"/>
        <v>3549890.056558352</v>
      </c>
    </row>
    <row r="15" spans="1:10" x14ac:dyDescent="0.3">
      <c r="C15" s="3">
        <f t="shared" si="5"/>
        <v>57062.334122200016</v>
      </c>
      <c r="D15" s="3">
        <f t="shared" si="1"/>
        <v>684748.00946640014</v>
      </c>
      <c r="E15" s="3">
        <v>50000</v>
      </c>
      <c r="F15" s="3">
        <f t="shared" si="2"/>
        <v>600000</v>
      </c>
      <c r="G15" s="2">
        <v>0.12</v>
      </c>
      <c r="H15" s="3">
        <f t="shared" si="3"/>
        <v>13181260.557917114</v>
      </c>
      <c r="I15" s="3">
        <f t="shared" si="4"/>
        <v>16010322.185676808</v>
      </c>
      <c r="J15" s="3">
        <f t="shared" si="0"/>
        <v>2829061.6277596932</v>
      </c>
    </row>
    <row r="16" spans="1:10" x14ac:dyDescent="0.3">
      <c r="C16" s="3">
        <f t="shared" si="5"/>
        <v>62768.567534420021</v>
      </c>
      <c r="D16" s="3">
        <f t="shared" si="1"/>
        <v>753222.81041304022</v>
      </c>
      <c r="E16" s="3">
        <v>50000</v>
      </c>
      <c r="F16" s="3">
        <f t="shared" si="2"/>
        <v>600000</v>
      </c>
      <c r="G16" s="2">
        <v>0.12</v>
      </c>
      <c r="H16" s="3">
        <f t="shared" si="3"/>
        <v>14609789.014454128</v>
      </c>
      <c r="I16" s="3">
        <f t="shared" si="4"/>
        <v>16650735.073103881</v>
      </c>
      <c r="J16" s="3">
        <f t="shared" si="0"/>
        <v>2040946.0586497523</v>
      </c>
    </row>
    <row r="17" spans="3:10" x14ac:dyDescent="0.3">
      <c r="C17" s="3">
        <f t="shared" si="5"/>
        <v>69045.424287862028</v>
      </c>
      <c r="D17" s="3">
        <f t="shared" si="1"/>
        <v>828545.09145434434</v>
      </c>
      <c r="E17" s="3">
        <v>50000</v>
      </c>
      <c r="F17" s="3">
        <f t="shared" si="2"/>
        <v>600000</v>
      </c>
      <c r="G17" s="2">
        <v>0.12</v>
      </c>
      <c r="H17" s="3">
        <f t="shared" si="3"/>
        <v>16134418.604734277</v>
      </c>
      <c r="I17" s="3">
        <f t="shared" si="4"/>
        <v>17316764.476028036</v>
      </c>
      <c r="J17" s="3">
        <f t="shared" si="0"/>
        <v>1182345.871293759</v>
      </c>
    </row>
    <row r="18" spans="3:10" x14ac:dyDescent="0.3">
      <c r="C18" s="3">
        <f t="shared" si="5"/>
        <v>75949.966716648225</v>
      </c>
      <c r="D18" s="3">
        <f t="shared" si="1"/>
        <v>911399.6005997787</v>
      </c>
      <c r="E18" s="3">
        <v>50000</v>
      </c>
      <c r="F18" s="3">
        <f t="shared" si="2"/>
        <v>600000</v>
      </c>
      <c r="G18" s="2">
        <v>0.12</v>
      </c>
      <c r="H18" s="3">
        <f t="shared" si="3"/>
        <v>17759149.236702614</v>
      </c>
      <c r="I18" s="3">
        <f t="shared" si="4"/>
        <v>18009435.055069156</v>
      </c>
      <c r="J18" s="3">
        <f t="shared" si="0"/>
        <v>250285.81836654246</v>
      </c>
    </row>
    <row r="19" spans="3:10" x14ac:dyDescent="0.3">
      <c r="C19" s="3">
        <f t="shared" si="5"/>
        <v>83544.963388313045</v>
      </c>
      <c r="D19" s="3">
        <f t="shared" si="1"/>
        <v>1002539.5606597565</v>
      </c>
      <c r="E19" s="3">
        <v>50000</v>
      </c>
      <c r="F19" s="3">
        <f t="shared" si="2"/>
        <v>600000</v>
      </c>
      <c r="G19" s="2">
        <v>0.12</v>
      </c>
      <c r="H19" s="3">
        <f t="shared" si="3"/>
        <v>19487707.584447172</v>
      </c>
      <c r="I19" s="3">
        <f t="shared" si="4"/>
        <v>18729812.457271922</v>
      </c>
      <c r="J19" s="3">
        <f t="shared" si="0"/>
        <v>-757895.12717524916</v>
      </c>
    </row>
    <row r="20" spans="3:10" x14ac:dyDescent="0.3">
      <c r="C20" s="3">
        <f t="shared" si="5"/>
        <v>91899.459727144349</v>
      </c>
      <c r="D20" s="3">
        <f t="shared" si="1"/>
        <v>1102793.5167257322</v>
      </c>
      <c r="E20" s="3">
        <v>50000</v>
      </c>
      <c r="F20" s="3">
        <f t="shared" si="2"/>
        <v>600000</v>
      </c>
      <c r="G20" s="2">
        <v>0.12</v>
      </c>
      <c r="H20" s="3">
        <f t="shared" si="3"/>
        <v>21323438.977855098</v>
      </c>
      <c r="I20" s="3">
        <f t="shared" si="4"/>
        <v>19479004.9555628</v>
      </c>
      <c r="J20" s="3">
        <f t="shared" si="0"/>
        <v>-1844434.0222922973</v>
      </c>
    </row>
    <row r="21" spans="3:10" x14ac:dyDescent="0.3">
      <c r="C21" s="3">
        <f t="shared" si="5"/>
        <v>101089.40569985879</v>
      </c>
      <c r="D21" s="3">
        <f t="shared" si="1"/>
        <v>1213072.8683983055</v>
      </c>
      <c r="E21" s="3">
        <v>50000</v>
      </c>
      <c r="F21" s="3">
        <f t="shared" si="2"/>
        <v>600000</v>
      </c>
      <c r="G21" s="2">
        <v>0.12</v>
      </c>
      <c r="H21" s="3">
        <f t="shared" si="3"/>
        <v>23269178.786799405</v>
      </c>
      <c r="I21" s="3">
        <f t="shared" si="4"/>
        <v>20258165.153785311</v>
      </c>
      <c r="J21" s="3">
        <f t="shared" si="0"/>
        <v>-3011013.6330140941</v>
      </c>
    </row>
    <row r="22" spans="3:10" x14ac:dyDescent="0.3">
      <c r="C22" s="3">
        <f t="shared" si="5"/>
        <v>111198.34626984467</v>
      </c>
      <c r="D22" s="3">
        <f t="shared" si="1"/>
        <v>1334380.155238136</v>
      </c>
      <c r="E22" s="3">
        <v>50000</v>
      </c>
      <c r="F22" s="3">
        <f t="shared" si="2"/>
        <v>600000</v>
      </c>
      <c r="G22" s="2">
        <v>0.12</v>
      </c>
      <c r="H22" s="3">
        <f t="shared" si="3"/>
        <v>25327100.085977197</v>
      </c>
      <c r="I22" s="3">
        <f t="shared" si="4"/>
        <v>21068491.759936724</v>
      </c>
      <c r="J22" s="3">
        <f t="shared" si="0"/>
        <v>-4258608.3260404728</v>
      </c>
    </row>
    <row r="23" spans="3:10" x14ac:dyDescent="0.3">
      <c r="C23" s="3">
        <f t="shared" si="5"/>
        <v>122318.18089682913</v>
      </c>
      <c r="D23" s="3">
        <f t="shared" si="1"/>
        <v>1467818.1707619496</v>
      </c>
      <c r="E23" s="3">
        <v>50000</v>
      </c>
      <c r="F23" s="3">
        <f t="shared" si="2"/>
        <v>600000</v>
      </c>
      <c r="G23" s="2">
        <v>0.12</v>
      </c>
      <c r="H23" s="3">
        <f t="shared" si="3"/>
        <v>27498533.925532509</v>
      </c>
      <c r="I23" s="3">
        <f t="shared" si="4"/>
        <v>21911231.430334192</v>
      </c>
      <c r="J23" s="3">
        <f t="shared" si="0"/>
        <v>-5587302.4951983169</v>
      </c>
    </row>
    <row r="24" spans="3:10" x14ac:dyDescent="0.3">
      <c r="C24" s="3">
        <f t="shared" si="5"/>
        <v>134549.99898651204</v>
      </c>
      <c r="D24" s="3">
        <f t="shared" si="1"/>
        <v>1614599.9878381444</v>
      </c>
      <c r="E24" s="3">
        <v>50000</v>
      </c>
      <c r="F24" s="3">
        <f t="shared" si="2"/>
        <v>600000</v>
      </c>
      <c r="G24" s="2">
        <v>0.12</v>
      </c>
      <c r="H24" s="3">
        <f t="shared" si="3"/>
        <v>29783758.008758266</v>
      </c>
      <c r="I24" s="3">
        <f t="shared" si="4"/>
        <v>22787680.687547561</v>
      </c>
      <c r="J24" s="3">
        <f t="shared" si="0"/>
        <v>-6996077.3212107047</v>
      </c>
    </row>
    <row r="25" spans="3:10" x14ac:dyDescent="0.3">
      <c r="C25" s="3">
        <f t="shared" si="5"/>
        <v>148004.99888516325</v>
      </c>
      <c r="D25" s="3">
        <f t="shared" si="1"/>
        <v>1776059.9866219591</v>
      </c>
      <c r="E25" s="3">
        <v>50000</v>
      </c>
      <c r="F25" s="3">
        <f t="shared" si="2"/>
        <v>600000</v>
      </c>
      <c r="G25" s="2">
        <v>0.12</v>
      </c>
      <c r="H25" s="3">
        <f t="shared" si="3"/>
        <v>32181748.983187295</v>
      </c>
      <c r="I25" s="3">
        <f t="shared" si="4"/>
        <v>23699187.915049464</v>
      </c>
      <c r="J25" s="3">
        <f t="shared" si="0"/>
        <v>-8482561.068137832</v>
      </c>
    </row>
    <row r="26" spans="3:10" x14ac:dyDescent="0.3">
      <c r="C26" s="3">
        <f t="shared" si="5"/>
        <v>162805.49877367957</v>
      </c>
      <c r="D26" s="3">
        <f t="shared" si="1"/>
        <v>1953665.9852841548</v>
      </c>
      <c r="E26" s="3">
        <v>50000</v>
      </c>
      <c r="F26" s="3">
        <f t="shared" si="2"/>
        <v>600000</v>
      </c>
      <c r="G26" s="2">
        <v>0.12</v>
      </c>
      <c r="H26" s="3">
        <f t="shared" si="3"/>
        <v>34689892.875885613</v>
      </c>
      <c r="I26" s="3">
        <f t="shared" si="4"/>
        <v>24647155.431651443</v>
      </c>
      <c r="J26" s="3">
        <f t="shared" si="0"/>
        <v>-10042737.44423417</v>
      </c>
    </row>
    <row r="27" spans="3:10" x14ac:dyDescent="0.3">
      <c r="C27" s="3">
        <f t="shared" si="5"/>
        <v>179086.04865104752</v>
      </c>
      <c r="D27" s="3">
        <f t="shared" si="1"/>
        <v>2149032.5838125702</v>
      </c>
      <c r="E27" s="3">
        <v>50000</v>
      </c>
      <c r="F27" s="3">
        <f t="shared" si="2"/>
        <v>600000</v>
      </c>
      <c r="G27" s="2">
        <v>0.12</v>
      </c>
      <c r="H27" s="3">
        <f t="shared" si="3"/>
        <v>37303647.437179312</v>
      </c>
      <c r="I27" s="3">
        <f t="shared" si="4"/>
        <v>25633041.6489175</v>
      </c>
      <c r="J27" s="3">
        <f t="shared" si="0"/>
        <v>-11670605.788261812</v>
      </c>
    </row>
    <row r="28" spans="3:10" x14ac:dyDescent="0.3">
      <c r="C28" s="3">
        <f t="shared" si="5"/>
        <v>196994.65351615226</v>
      </c>
      <c r="D28" s="3">
        <f t="shared" si="1"/>
        <v>2363935.842193827</v>
      </c>
      <c r="E28" s="3">
        <v>50000</v>
      </c>
      <c r="F28" s="3">
        <f t="shared" si="2"/>
        <v>600000</v>
      </c>
      <c r="G28" s="2">
        <v>0.12</v>
      </c>
      <c r="H28" s="3">
        <f t="shared" si="3"/>
        <v>40016149.287447006</v>
      </c>
      <c r="I28" s="3">
        <f t="shared" si="4"/>
        <v>26658363.314874198</v>
      </c>
      <c r="J28" s="3">
        <f t="shared" si="0"/>
        <v>-13357785.972572807</v>
      </c>
    </row>
    <row r="29" spans="3:10" x14ac:dyDescent="0.3">
      <c r="C29" s="3">
        <f t="shared" si="5"/>
        <v>216694.11886776748</v>
      </c>
      <c r="D29" s="3">
        <f t="shared" si="1"/>
        <v>2600329.4264132096</v>
      </c>
      <c r="E29" s="3">
        <v>50000</v>
      </c>
      <c r="F29" s="3">
        <f t="shared" si="2"/>
        <v>600000</v>
      </c>
      <c r="G29" s="2">
        <v>0.12</v>
      </c>
      <c r="H29" s="3">
        <f t="shared" si="3"/>
        <v>42817757.77552744</v>
      </c>
      <c r="I29" s="3">
        <f t="shared" si="4"/>
        <v>27724697.847469166</v>
      </c>
      <c r="J29" s="3">
        <f t="shared" si="0"/>
        <v>-15093059.928058274</v>
      </c>
    </row>
    <row r="30" spans="3:10" x14ac:dyDescent="0.3">
      <c r="C30" s="3">
        <f t="shared" si="5"/>
        <v>238363.53075454422</v>
      </c>
      <c r="D30" s="3">
        <f t="shared" si="1"/>
        <v>2860362.3690545307</v>
      </c>
      <c r="E30" s="3">
        <v>50000</v>
      </c>
      <c r="F30" s="3">
        <f t="shared" si="2"/>
        <v>600000</v>
      </c>
      <c r="G30" s="2">
        <v>0.12</v>
      </c>
      <c r="H30" s="3">
        <f t="shared" si="3"/>
        <v>45695526.339536197</v>
      </c>
      <c r="I30" s="3">
        <f t="shared" si="4"/>
        <v>28833685.761367932</v>
      </c>
      <c r="J30" s="3">
        <f t="shared" si="0"/>
        <v>-16861840.578168266</v>
      </c>
    </row>
    <row r="31" spans="3:10" x14ac:dyDescent="0.3">
      <c r="C31" s="3">
        <f t="shared" si="5"/>
        <v>262199.88382999867</v>
      </c>
      <c r="D31" s="3">
        <f t="shared" si="1"/>
        <v>3146398.605959984</v>
      </c>
      <c r="E31" s="3">
        <v>50000</v>
      </c>
      <c r="F31" s="3">
        <f t="shared" si="2"/>
        <v>600000</v>
      </c>
      <c r="G31" s="2">
        <v>0.12</v>
      </c>
      <c r="H31" s="3">
        <f t="shared" si="3"/>
        <v>48632590.894320562</v>
      </c>
      <c r="I31" s="3">
        <f t="shared" si="4"/>
        <v>29987033.191822648</v>
      </c>
      <c r="J31" s="3">
        <f t="shared" si="0"/>
        <v>-18645557.702497914</v>
      </c>
    </row>
    <row r="32" spans="3:10" x14ac:dyDescent="0.3">
      <c r="C32" s="3">
        <f t="shared" si="5"/>
        <v>288419.87221299851</v>
      </c>
      <c r="D32" s="3">
        <f t="shared" si="1"/>
        <v>3461038.4665559819</v>
      </c>
      <c r="E32" s="3">
        <v>50000</v>
      </c>
      <c r="F32" s="3">
        <f t="shared" si="2"/>
        <v>600000</v>
      </c>
      <c r="G32" s="2">
        <v>0.12</v>
      </c>
      <c r="H32" s="3">
        <f t="shared" si="3"/>
        <v>51607463.335083045</v>
      </c>
      <c r="I32" s="3">
        <f t="shared" si="4"/>
        <v>31186514.519495554</v>
      </c>
      <c r="J32" s="3">
        <f t="shared" si="0"/>
        <v>-20420948.815587491</v>
      </c>
    </row>
    <row r="33" spans="1:10" x14ac:dyDescent="0.3">
      <c r="C33" s="3">
        <f t="shared" si="5"/>
        <v>317261.85943429836</v>
      </c>
      <c r="D33" s="3">
        <f t="shared" si="1"/>
        <v>3807142.3132115803</v>
      </c>
      <c r="E33" s="3">
        <v>50000</v>
      </c>
      <c r="F33" s="3">
        <f t="shared" si="2"/>
        <v>600000</v>
      </c>
      <c r="G33" s="2">
        <v>0.12</v>
      </c>
      <c r="H33" s="3">
        <f t="shared" si="3"/>
        <v>54593216.622081429</v>
      </c>
      <c r="I33" s="3">
        <f t="shared" si="4"/>
        <v>32433975.100275375</v>
      </c>
      <c r="J33" s="3">
        <f t="shared" si="0"/>
        <v>-22159241.521806054</v>
      </c>
    </row>
    <row r="34" spans="1:10" x14ac:dyDescent="0.3">
      <c r="A34" s="3" t="s">
        <v>13</v>
      </c>
      <c r="C34" s="3">
        <f>SUM(C3:C33)</f>
        <v>3289880.453777282</v>
      </c>
      <c r="D34" s="3">
        <f>SUM(D3:D33)</f>
        <v>39478565.445327386</v>
      </c>
      <c r="E34" s="3">
        <f>SUM(E3:E33)</f>
        <v>3500000</v>
      </c>
      <c r="F34" s="3">
        <f>SUM(F4:F33)</f>
        <v>18000000</v>
      </c>
      <c r="G34" s="2">
        <v>0.12</v>
      </c>
      <c r="H34" s="3">
        <f>SUM(H4:H33)</f>
        <v>669858067.18382156</v>
      </c>
      <c r="I34" s="3">
        <f>SUM(I4:I33)</f>
        <v>583283352.60715997</v>
      </c>
      <c r="J34" s="3">
        <f t="shared" si="0"/>
        <v>-86574714.576661587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Maltesh V. (623)</dc:creator>
  <cp:lastModifiedBy>Kulkarni, Maltesh V. (623)</cp:lastModifiedBy>
  <dcterms:created xsi:type="dcterms:W3CDTF">2025-08-18T13:54:33Z</dcterms:created>
  <dcterms:modified xsi:type="dcterms:W3CDTF">2025-08-19T09:51:38Z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2025-08-19T03:04:06Z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49abd1e5-cb28-4cc3-bc47-881f64a3b7f7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